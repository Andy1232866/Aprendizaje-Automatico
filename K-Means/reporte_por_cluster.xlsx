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4" showHorizontalScroll="1" showVerticalScroll="1"/>
  </bookViews>
  <sheets>
    <sheet name="Cluster_0" sheetId="1" state="visible" r:id="rId1"/>
    <sheet name="Cluster_1" sheetId="2" state="visible" r:id="rId2"/>
    <sheet name="Cluster_2" sheetId="3" state="visible" r:id="rId3"/>
    <sheet name="Cluster_3" sheetId="4" state="visible" r:id="rId4"/>
    <sheet name="Cluster_4" sheetId="5" state="visible" r:id="rId5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<sst xmlns="http://schemas.openxmlformats.org/spreadsheetml/2006/main" count="156" uniqueCount="156">
  <si>
    <t>usuario</t>
  </si>
  <si>
    <t>categoria</t>
  </si>
  <si>
    <t>label</t>
  </si>
  <si>
    <t xml:space="preserve">Conteo x Grupo</t>
  </si>
  <si>
    <t xml:space="preserve"># Categoría</t>
  </si>
  <si>
    <t>Categoría</t>
  </si>
  <si>
    <t>aguerosergiokun</t>
  </si>
  <si>
    <t>Actor/Actriz</t>
  </si>
  <si>
    <t>andy_murray</t>
  </si>
  <si>
    <t>Cantante</t>
  </si>
  <si>
    <t>Carrie_Br4dshaw</t>
  </si>
  <si>
    <t>Modelo</t>
  </si>
  <si>
    <t>cesarmillan</t>
  </si>
  <si>
    <t xml:space="preserve">TV, Series</t>
  </si>
  <si>
    <t>Diane_Keaton</t>
  </si>
  <si>
    <t>Radio</t>
  </si>
  <si>
    <t>GeorgeHWBush</t>
  </si>
  <si>
    <t>Tecnología</t>
  </si>
  <si>
    <t>GwynethPaltrow</t>
  </si>
  <si>
    <t>Deportes</t>
  </si>
  <si>
    <t>HerreraBeutler</t>
  </si>
  <si>
    <t>Política</t>
  </si>
  <si>
    <t>HillaryClinton</t>
  </si>
  <si>
    <t>Escritor</t>
  </si>
  <si>
    <t>hughlaurie</t>
  </si>
  <si>
    <t>jiminhofe</t>
  </si>
  <si>
    <t>jk_rowling</t>
  </si>
  <si>
    <t>Total</t>
  </si>
  <si>
    <t>justinbieber</t>
  </si>
  <si>
    <t>kobebryant</t>
  </si>
  <si>
    <t>ladygaga</t>
  </si>
  <si>
    <t>Rep_Hunter</t>
  </si>
  <si>
    <t>SarahPalinUSA</t>
  </si>
  <si>
    <t>SJP</t>
  </si>
  <si>
    <t>SSantiagosegura</t>
  </si>
  <si>
    <t>stevewoz</t>
  </si>
  <si>
    <t>thelittleidiot</t>
  </si>
  <si>
    <t>tomhanks</t>
  </si>
  <si>
    <t>andyroddick</t>
  </si>
  <si>
    <t>AngelAlessandra</t>
  </si>
  <si>
    <t>AvrilLavigne</t>
  </si>
  <si>
    <t>BarRefaeli</t>
  </si>
  <si>
    <t>britneyspears</t>
  </si>
  <si>
    <t>carmenelectra</t>
  </si>
  <si>
    <t>celinedion</t>
  </si>
  <si>
    <t>CindyCrawford</t>
  </si>
  <si>
    <t>CourteneyCox</t>
  </si>
  <si>
    <t>Courtney</t>
  </si>
  <si>
    <t>Cristiano</t>
  </si>
  <si>
    <t>EmWatson</t>
  </si>
  <si>
    <t>epunset</t>
  </si>
  <si>
    <t>EvaLongoria</t>
  </si>
  <si>
    <t>Fergie</t>
  </si>
  <si>
    <t>gwenstefani</t>
  </si>
  <si>
    <t>heidiklum</t>
  </si>
  <si>
    <t>IamStevenT</t>
  </si>
  <si>
    <t>JessieJ</t>
  </si>
  <si>
    <t>jimlangevin</t>
  </si>
  <si>
    <t>jimmyfallon</t>
  </si>
  <si>
    <t>jtimberlake</t>
  </si>
  <si>
    <t>justdemi</t>
  </si>
  <si>
    <t>kanyewest</t>
  </si>
  <si>
    <t>katyperry</t>
  </si>
  <si>
    <t>KevinSpacey</t>
  </si>
  <si>
    <t>KidRock</t>
  </si>
  <si>
    <t>LennyKravitz</t>
  </si>
  <si>
    <t>LeoDiCaprio</t>
  </si>
  <si>
    <t>MariahCarey</t>
  </si>
  <si>
    <t>martinvars</t>
  </si>
  <si>
    <t>MelanieGriffith</t>
  </si>
  <si>
    <t>MileyCyrus</t>
  </si>
  <si>
    <t>Oprah</t>
  </si>
  <si>
    <t>PaulaMeliveo</t>
  </si>
  <si>
    <t>paulocoelho</t>
  </si>
  <si>
    <t>RealHughJackman</t>
  </si>
  <si>
    <t>shakira</t>
  </si>
  <si>
    <t>taylorswift13</t>
  </si>
  <si>
    <t>TheEllenShow</t>
  </si>
  <si>
    <t>TheReal_Jlh</t>
  </si>
  <si>
    <t>TomCruise</t>
  </si>
  <si>
    <t>ZacEfron</t>
  </si>
  <si>
    <t>AlejandroSanz</t>
  </si>
  <si>
    <t>alfredocasero1</t>
  </si>
  <si>
    <t>andykusnetzoff</t>
  </si>
  <si>
    <t>Berto_Romero</t>
  </si>
  <si>
    <t>Buenafuente</t>
  </si>
  <si>
    <t>CarlosAuryn</t>
  </si>
  <si>
    <t>CasillasWorld</t>
  </si>
  <si>
    <t>CristiPedroche</t>
  </si>
  <si>
    <t>DaniMateoAgain</t>
  </si>
  <si>
    <t>DANIROVIRA</t>
  </si>
  <si>
    <t>davidbisbal</t>
  </si>
  <si>
    <t>eva_hache</t>
  </si>
  <si>
    <t>FALCAO</t>
  </si>
  <si>
    <t>JesusCalleja</t>
  </si>
  <si>
    <t>jordievole</t>
  </si>
  <si>
    <t>jordiGlez</t>
  </si>
  <si>
    <t>josjaviersantos</t>
  </si>
  <si>
    <t>JPVarsky</t>
  </si>
  <si>
    <t>manuginobili</t>
  </si>
  <si>
    <t>maria_patino</t>
  </si>
  <si>
    <t>NadalMiki</t>
  </si>
  <si>
    <t>perezreverte</t>
  </si>
  <si>
    <t>pnique</t>
  </si>
  <si>
    <t>porliniers</t>
  </si>
  <si>
    <t>ristomejide</t>
  </si>
  <si>
    <t>SerranoIsmael</t>
  </si>
  <si>
    <t>XaviRodriguez</t>
  </si>
  <si>
    <t>_josecoronado_</t>
  </si>
  <si>
    <t>3gerardpique</t>
  </si>
  <si>
    <t>albertochicote</t>
  </si>
  <si>
    <t>alo_oficial</t>
  </si>
  <si>
    <t>andresiniesta8</t>
  </si>
  <si>
    <t>antoniobanderas</t>
  </si>
  <si>
    <t>BarackObama</t>
  </si>
  <si>
    <t>BillGates</t>
  </si>
  <si>
    <t>CFKArgentina</t>
  </si>
  <si>
    <t>charliesheen</t>
  </si>
  <si>
    <t>ChristianG_7</t>
  </si>
  <si>
    <t>Clyburn</t>
  </si>
  <si>
    <t>David_Busta</t>
  </si>
  <si>
    <t>DidacLee</t>
  </si>
  <si>
    <t>drexlerjorge</t>
  </si>
  <si>
    <t>edans</t>
  </si>
  <si>
    <t>EdwardNorton</t>
  </si>
  <si>
    <t>FernandezAnibal</t>
  </si>
  <si>
    <t>fieritacatalano</t>
  </si>
  <si>
    <t>ierrejon</t>
  </si>
  <si>
    <t>iescolar</t>
  </si>
  <si>
    <t>JesusEncinar</t>
  </si>
  <si>
    <t>JohnKerry</t>
  </si>
  <si>
    <t>KAKA</t>
  </si>
  <si>
    <t>KateUpton</t>
  </si>
  <si>
    <t>lorenzo99</t>
  </si>
  <si>
    <t>pabloalboran</t>
  </si>
  <si>
    <t>Pablo_Iglesias_</t>
  </si>
  <si>
    <t>paugasol</t>
  </si>
  <si>
    <t>RafaelNadal</t>
  </si>
  <si>
    <t>sanchezcastejon</t>
  </si>
  <si>
    <t>usainbolt</t>
  </si>
  <si>
    <t>XabiAlonso</t>
  </si>
  <si>
    <t>aplusk</t>
  </si>
  <si>
    <t>enrique305</t>
  </si>
  <si>
    <t>foofighters</t>
  </si>
  <si>
    <t>HilaryDuff</t>
  </si>
  <si>
    <t>IanMcKellen</t>
  </si>
  <si>
    <t>JerrySeinfeld</t>
  </si>
  <si>
    <t>jessicaalba</t>
  </si>
  <si>
    <t>JLo</t>
  </si>
  <si>
    <t>JudgeJudy</t>
  </si>
  <si>
    <t>MeganFox516</t>
  </si>
  <si>
    <t>OfficialAdele</t>
  </si>
  <si>
    <t>rihanna</t>
  </si>
  <si>
    <t>springsteen</t>
  </si>
  <si>
    <t>victoriabeckham</t>
  </si>
  <si>
    <t>xoellopez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</si>
</sst>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  <xf fontId="0" fillId="0" borderId="0" numFmtId="0" xfId="0" applyAlignment="1" quotePrefix="0" pivotButton="0">
      <alignment horizontal="center"/>
    </xf>
    <xf fontId="0" fillId="2" borderId="0" numFmtId="0" xfId="0" applyFill="1" applyAlignment="1" quotePrefix="0" pivotButton="0">
      <alignment horizontal="center"/>
    </xf>
    <xf fontId="0" fillId="3" borderId="0" numFmtId="0" xfId="0" applyFill="1" applyAlignment="1" quotePrefix="0" pivotButton="0">
      <alignment horizontal="center"/>
    </xf>
    <xf fontId="0" fillId="0" borderId="0" numFmtId="0" xfId="0" applyAlignment="1" quotePrefix="0" pivotButton="0">
      <alignment horizontal="center"/>
      <protection hidden="0" locked="1"/>
    </xf>
    <xf fontId="0" fillId="0" borderId="0" numFmtId="0" xfId="0" quotePrefix="0" pivotButton="0">
      <protection hidden="0" locked="1"/>
    </xf>
    <xf fontId="0" fillId="2" borderId="0" numFmtId="0" xfId="0" applyFill="1" applyAlignment="1" quotePrefix="0" pivotButton="0">
      <alignment horizontal="center"/>
      <protection hidden="0" locked="1"/>
    </xf>
    <xf fontId="0" fillId="3" borderId="0" numFmtId="0" xfId="0" applyFill="1" applyAlignment="1" quotePrefix="0" pivotButton="0">
      <alignment horizontal="center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19.28125"/>
    <col customWidth="1" min="2" max="2" width="14.28125"/>
    <col customWidth="1" min="3" max="3" width="14.421875"/>
    <col customWidth="1" min="6" max="6" width="15.8515625"/>
    <col customWidth="1" min="8" max="8" width="15.7109375"/>
    <col customWidth="1" min="9" max="9" width="17.8515625"/>
  </cols>
  <sheetData>
    <row r="1">
      <c r="A1" s="1" t="s">
        <v>0</v>
      </c>
      <c r="B1" s="1" t="s">
        <v>1</v>
      </c>
      <c r="C1" s="1" t="s">
        <v>2</v>
      </c>
      <c r="F1" s="2" t="s">
        <v>3</v>
      </c>
      <c r="G1"/>
      <c r="H1" s="2" t="s">
        <v>4</v>
      </c>
      <c r="I1" s="2" t="s">
        <v>5</v>
      </c>
    </row>
    <row r="2">
      <c r="A2" t="s">
        <v>6</v>
      </c>
      <c r="B2">
        <v>7</v>
      </c>
      <c r="C2">
        <v>0</v>
      </c>
      <c r="F2" s="2">
        <f>COUNTIF(B2:B23,1)</f>
        <v>5</v>
      </c>
      <c r="G2"/>
      <c r="H2" s="2">
        <v>1</v>
      </c>
      <c r="I2" s="3" t="s">
        <v>7</v>
      </c>
    </row>
    <row r="3">
      <c r="A3" t="s">
        <v>8</v>
      </c>
      <c r="B3">
        <v>7</v>
      </c>
      <c r="C3">
        <v>0</v>
      </c>
      <c r="F3" s="2">
        <f>COUNTIF(B2:B23,2)</f>
        <v>3</v>
      </c>
      <c r="G3"/>
      <c r="H3" s="2">
        <v>2</v>
      </c>
      <c r="I3" s="2" t="s">
        <v>9</v>
      </c>
    </row>
    <row r="4">
      <c r="A4" t="s">
        <v>10</v>
      </c>
      <c r="B4">
        <v>3</v>
      </c>
      <c r="C4">
        <v>0</v>
      </c>
      <c r="F4" s="2">
        <f>COUNTIF(B2:B23,3)</f>
        <v>1</v>
      </c>
      <c r="G4"/>
      <c r="H4" s="2">
        <v>3</v>
      </c>
      <c r="I4" s="2" t="s">
        <v>11</v>
      </c>
    </row>
    <row r="5">
      <c r="A5" t="s">
        <v>12</v>
      </c>
      <c r="B5">
        <v>4</v>
      </c>
      <c r="C5">
        <v>0</v>
      </c>
      <c r="F5" s="2">
        <f>COUNTIF(B2:B23,4)</f>
        <v>2</v>
      </c>
      <c r="G5"/>
      <c r="H5" s="2">
        <v>4</v>
      </c>
      <c r="I5" s="2" t="s">
        <v>13</v>
      </c>
    </row>
    <row r="6">
      <c r="A6" t="s">
        <v>14</v>
      </c>
      <c r="B6">
        <v>1</v>
      </c>
      <c r="C6">
        <v>0</v>
      </c>
      <c r="F6" s="2">
        <f>COUNTIF(B2:B23,5)</f>
        <v>0</v>
      </c>
      <c r="G6"/>
      <c r="H6" s="2">
        <v>5</v>
      </c>
      <c r="I6" s="2" t="s">
        <v>15</v>
      </c>
    </row>
    <row r="7">
      <c r="A7" t="s">
        <v>16</v>
      </c>
      <c r="B7">
        <v>8</v>
      </c>
      <c r="C7">
        <v>0</v>
      </c>
      <c r="F7" s="2">
        <f>COUNTIF(B2:B23,6)</f>
        <v>1</v>
      </c>
      <c r="G7"/>
      <c r="H7" s="2">
        <v>6</v>
      </c>
      <c r="I7" s="2" t="s">
        <v>17</v>
      </c>
    </row>
    <row r="8">
      <c r="A8" t="s">
        <v>18</v>
      </c>
      <c r="B8">
        <v>1</v>
      </c>
      <c r="C8">
        <v>0</v>
      </c>
      <c r="F8" s="2">
        <f>COUNTIF(B2:B23,7)</f>
        <v>3</v>
      </c>
      <c r="G8"/>
      <c r="H8" s="2">
        <v>7</v>
      </c>
      <c r="I8" s="2" t="s">
        <v>19</v>
      </c>
    </row>
    <row r="9">
      <c r="A9" t="s">
        <v>20</v>
      </c>
      <c r="B9">
        <v>8</v>
      </c>
      <c r="C9">
        <v>0</v>
      </c>
      <c r="F9" s="2">
        <f>COUNTIF(B2:B23,8)</f>
        <v>6</v>
      </c>
      <c r="G9"/>
      <c r="H9" s="2">
        <v>8</v>
      </c>
      <c r="I9" s="4" t="s">
        <v>21</v>
      </c>
    </row>
    <row r="10">
      <c r="A10" t="s">
        <v>22</v>
      </c>
      <c r="B10">
        <v>8</v>
      </c>
      <c r="C10">
        <v>0</v>
      </c>
      <c r="F10" s="2">
        <f>COUNTIF(B2:B23,9)</f>
        <v>1</v>
      </c>
      <c r="G10"/>
      <c r="H10" s="2">
        <v>9</v>
      </c>
      <c r="I10" s="2" t="s">
        <v>23</v>
      </c>
    </row>
    <row r="11">
      <c r="A11" t="s">
        <v>24</v>
      </c>
      <c r="B11">
        <v>4</v>
      </c>
      <c r="C11">
        <v>0</v>
      </c>
      <c r="F11"/>
      <c r="G11"/>
      <c r="H11"/>
      <c r="I11"/>
    </row>
    <row r="12">
      <c r="A12" t="s">
        <v>25</v>
      </c>
      <c r="B12">
        <v>8</v>
      </c>
      <c r="C12">
        <v>0</v>
      </c>
      <c r="F12"/>
      <c r="G12"/>
      <c r="H12"/>
      <c r="I12"/>
    </row>
    <row r="13">
      <c r="A13" t="s">
        <v>26</v>
      </c>
      <c r="B13">
        <v>9</v>
      </c>
      <c r="C13">
        <v>0</v>
      </c>
      <c r="F13">
        <f>SUM(F2:F10)</f>
        <v>22</v>
      </c>
      <c r="G13" t="s">
        <v>27</v>
      </c>
      <c r="H13"/>
      <c r="I13"/>
    </row>
    <row r="14">
      <c r="A14" t="s">
        <v>28</v>
      </c>
      <c r="B14">
        <v>2</v>
      </c>
      <c r="C14">
        <v>0</v>
      </c>
    </row>
    <row r="15">
      <c r="A15" t="s">
        <v>29</v>
      </c>
      <c r="B15">
        <v>7</v>
      </c>
      <c r="C15">
        <v>0</v>
      </c>
    </row>
    <row r="16">
      <c r="A16" t="s">
        <v>30</v>
      </c>
      <c r="B16">
        <v>2</v>
      </c>
      <c r="C16">
        <v>0</v>
      </c>
    </row>
    <row r="17">
      <c r="A17" t="s">
        <v>31</v>
      </c>
      <c r="B17">
        <v>8</v>
      </c>
      <c r="C17">
        <v>0</v>
      </c>
    </row>
    <row r="18">
      <c r="A18" t="s">
        <v>32</v>
      </c>
      <c r="B18">
        <v>8</v>
      </c>
      <c r="C18">
        <v>0</v>
      </c>
    </row>
    <row r="19">
      <c r="A19" t="s">
        <v>33</v>
      </c>
      <c r="B19">
        <v>1</v>
      </c>
      <c r="C19">
        <v>0</v>
      </c>
    </row>
    <row r="20">
      <c r="A20" t="s">
        <v>34</v>
      </c>
      <c r="B20">
        <v>1</v>
      </c>
      <c r="C20">
        <v>0</v>
      </c>
    </row>
    <row r="21">
      <c r="A21" t="s">
        <v>35</v>
      </c>
      <c r="B21">
        <v>6</v>
      </c>
      <c r="C21">
        <v>0</v>
      </c>
    </row>
    <row r="22">
      <c r="A22" t="s">
        <v>36</v>
      </c>
      <c r="B22">
        <v>2</v>
      </c>
      <c r="C22">
        <v>0</v>
      </c>
    </row>
    <row r="23">
      <c r="A23" t="s">
        <v>37</v>
      </c>
      <c r="B23">
        <v>1</v>
      </c>
      <c r="C23"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18.7109375"/>
    <col customWidth="1" min="2" max="2" width="13.28125"/>
    <col customWidth="1" min="3" max="3" width="15.421875"/>
    <col customWidth="1" min="6" max="6" width="16.57421875"/>
    <col customWidth="1" min="8" max="8" width="15.00390625"/>
    <col customWidth="1" min="9" max="9" width="18.140625"/>
  </cols>
  <sheetData>
    <row r="1">
      <c r="A1" s="1" t="s">
        <v>0</v>
      </c>
      <c r="B1" s="1" t="s">
        <v>1</v>
      </c>
      <c r="C1" s="1" t="s">
        <v>2</v>
      </c>
      <c r="F1" s="5" t="s">
        <v>3</v>
      </c>
      <c r="G1" s="6"/>
      <c r="H1" s="5" t="s">
        <v>4</v>
      </c>
      <c r="I1" s="5" t="s">
        <v>5</v>
      </c>
    </row>
    <row r="2">
      <c r="A2" t="s">
        <v>38</v>
      </c>
      <c r="B2">
        <v>7</v>
      </c>
      <c r="C2">
        <v>1</v>
      </c>
      <c r="F2" s="5">
        <f>COUNTIF(B2:B45,1)</f>
        <v>11</v>
      </c>
      <c r="G2" s="6"/>
      <c r="H2" s="5">
        <v>1</v>
      </c>
      <c r="I2" s="7" t="s">
        <v>7</v>
      </c>
    </row>
    <row r="3">
      <c r="A3" t="s">
        <v>39</v>
      </c>
      <c r="B3">
        <v>3</v>
      </c>
      <c r="C3">
        <v>1</v>
      </c>
      <c r="F3" s="5">
        <f>COUNTIF(B2:B45,2)</f>
        <v>16</v>
      </c>
      <c r="G3" s="6"/>
      <c r="H3" s="5">
        <v>2</v>
      </c>
      <c r="I3" s="8" t="s">
        <v>9</v>
      </c>
    </row>
    <row r="4">
      <c r="A4" t="s">
        <v>40</v>
      </c>
      <c r="B4">
        <v>2</v>
      </c>
      <c r="C4">
        <v>1</v>
      </c>
      <c r="F4" s="5">
        <f>COUNTIF(B2:B45,3)</f>
        <v>6</v>
      </c>
      <c r="G4" s="6"/>
      <c r="H4" s="5">
        <v>3</v>
      </c>
      <c r="I4" s="5" t="s">
        <v>11</v>
      </c>
    </row>
    <row r="5">
      <c r="A5" t="s">
        <v>41</v>
      </c>
      <c r="B5">
        <v>3</v>
      </c>
      <c r="C5">
        <v>1</v>
      </c>
      <c r="F5" s="5">
        <f>COUNTIF(B2:B45,4)</f>
        <v>3</v>
      </c>
      <c r="G5" s="6"/>
      <c r="H5" s="5">
        <v>4</v>
      </c>
      <c r="I5" s="5" t="s">
        <v>13</v>
      </c>
    </row>
    <row r="6">
      <c r="A6" t="s">
        <v>42</v>
      </c>
      <c r="B6">
        <v>2</v>
      </c>
      <c r="C6">
        <v>1</v>
      </c>
      <c r="F6" s="5">
        <f>COUNTIF(B2:B45,5)</f>
        <v>1</v>
      </c>
      <c r="G6" s="6"/>
      <c r="H6" s="5">
        <v>5</v>
      </c>
      <c r="I6" s="5" t="s">
        <v>15</v>
      </c>
    </row>
    <row r="7">
      <c r="A7" t="s">
        <v>43</v>
      </c>
      <c r="B7">
        <v>3</v>
      </c>
      <c r="C7">
        <v>1</v>
      </c>
      <c r="F7" s="5">
        <f>COUNTIF(B2:B45,6)</f>
        <v>2</v>
      </c>
      <c r="G7" s="6"/>
      <c r="H7" s="5">
        <v>6</v>
      </c>
      <c r="I7" s="5" t="s">
        <v>17</v>
      </c>
    </row>
    <row r="8">
      <c r="A8" t="s">
        <v>44</v>
      </c>
      <c r="B8">
        <v>2</v>
      </c>
      <c r="C8">
        <v>1</v>
      </c>
      <c r="F8" s="5">
        <f>COUNTIF(B2:B45,7)</f>
        <v>2</v>
      </c>
      <c r="G8" s="6"/>
      <c r="H8" s="5">
        <v>7</v>
      </c>
      <c r="I8" s="5" t="s">
        <v>19</v>
      </c>
    </row>
    <row r="9">
      <c r="A9" t="s">
        <v>45</v>
      </c>
      <c r="B9">
        <v>3</v>
      </c>
      <c r="C9">
        <v>1</v>
      </c>
      <c r="F9" s="5">
        <f>COUNTIF(B2:B45,8)</f>
        <v>1</v>
      </c>
      <c r="G9" s="6"/>
      <c r="H9" s="5">
        <v>8</v>
      </c>
      <c r="I9" s="5" t="s">
        <v>21</v>
      </c>
    </row>
    <row r="10">
      <c r="A10" t="s">
        <v>46</v>
      </c>
      <c r="B10">
        <v>1</v>
      </c>
      <c r="C10">
        <v>1</v>
      </c>
      <c r="F10" s="5">
        <f>COUNTIF(B2:B45,9)</f>
        <v>1</v>
      </c>
      <c r="G10" s="6"/>
      <c r="H10" s="5">
        <v>9</v>
      </c>
      <c r="I10" s="5" t="s">
        <v>23</v>
      </c>
    </row>
    <row r="11">
      <c r="A11" t="s">
        <v>47</v>
      </c>
      <c r="B11">
        <v>2</v>
      </c>
      <c r="C11">
        <v>1</v>
      </c>
      <c r="F11" s="6"/>
      <c r="G11" s="6"/>
      <c r="H11" s="6"/>
      <c r="I11" s="6"/>
    </row>
    <row r="12">
      <c r="A12" t="s">
        <v>48</v>
      </c>
      <c r="B12">
        <v>7</v>
      </c>
      <c r="C12">
        <v>1</v>
      </c>
      <c r="F12" s="6"/>
      <c r="G12" s="6"/>
      <c r="H12" s="6"/>
      <c r="I12" s="6"/>
    </row>
    <row r="13">
      <c r="A13" t="s">
        <v>49</v>
      </c>
      <c r="B13">
        <v>1</v>
      </c>
      <c r="C13">
        <v>1</v>
      </c>
      <c r="F13" s="6">
        <f>SUM(F2:F10)</f>
        <v>43</v>
      </c>
      <c r="G13" s="6" t="s">
        <v>27</v>
      </c>
      <c r="H13" s="6"/>
      <c r="I13" s="6"/>
    </row>
    <row r="14">
      <c r="A14" t="s">
        <v>50</v>
      </c>
      <c r="B14">
        <v>6</v>
      </c>
      <c r="C14">
        <v>1</v>
      </c>
    </row>
    <row r="15">
      <c r="A15" t="s">
        <v>51</v>
      </c>
      <c r="B15">
        <v>3</v>
      </c>
      <c r="C15">
        <v>1</v>
      </c>
    </row>
    <row r="16">
      <c r="A16" t="s">
        <v>52</v>
      </c>
      <c r="B16">
        <v>2</v>
      </c>
      <c r="C16">
        <v>1</v>
      </c>
    </row>
    <row r="17">
      <c r="A17" t="s">
        <v>53</v>
      </c>
      <c r="B17">
        <v>2</v>
      </c>
      <c r="C17">
        <v>1</v>
      </c>
    </row>
    <row r="18">
      <c r="A18" t="s">
        <v>54</v>
      </c>
      <c r="B18">
        <v>3</v>
      </c>
      <c r="C18">
        <v>1</v>
      </c>
    </row>
    <row r="19">
      <c r="A19" t="s">
        <v>55</v>
      </c>
      <c r="B19">
        <v>2</v>
      </c>
      <c r="C19">
        <v>1</v>
      </c>
    </row>
    <row r="20">
      <c r="A20" t="s">
        <v>56</v>
      </c>
      <c r="B20">
        <v>2</v>
      </c>
      <c r="C20">
        <v>1</v>
      </c>
    </row>
    <row r="21">
      <c r="A21" t="s">
        <v>57</v>
      </c>
      <c r="B21">
        <v>8</v>
      </c>
      <c r="C21">
        <v>1</v>
      </c>
    </row>
    <row r="22">
      <c r="A22" t="s">
        <v>58</v>
      </c>
      <c r="B22">
        <v>4</v>
      </c>
      <c r="C22">
        <v>1</v>
      </c>
    </row>
    <row r="23">
      <c r="A23" t="s">
        <v>59</v>
      </c>
      <c r="B23">
        <v>2</v>
      </c>
      <c r="C23">
        <v>1</v>
      </c>
    </row>
    <row r="24">
      <c r="A24" t="s">
        <v>60</v>
      </c>
      <c r="B24">
        <v>1</v>
      </c>
      <c r="C24">
        <v>1</v>
      </c>
    </row>
    <row r="25">
      <c r="A25" t="s">
        <v>61</v>
      </c>
      <c r="B25">
        <v>2</v>
      </c>
      <c r="C25">
        <v>1</v>
      </c>
    </row>
    <row r="26">
      <c r="A26" t="s">
        <v>62</v>
      </c>
      <c r="B26">
        <v>2</v>
      </c>
      <c r="C26">
        <v>1</v>
      </c>
    </row>
    <row r="27">
      <c r="A27" t="s">
        <v>63</v>
      </c>
      <c r="B27">
        <v>1</v>
      </c>
      <c r="C27">
        <v>1</v>
      </c>
    </row>
    <row r="28">
      <c r="A28" t="s">
        <v>64</v>
      </c>
      <c r="B28">
        <v>2</v>
      </c>
      <c r="C28">
        <v>1</v>
      </c>
    </row>
    <row r="29">
      <c r="A29" t="s">
        <v>65</v>
      </c>
      <c r="B29">
        <v>2</v>
      </c>
      <c r="C29">
        <v>1</v>
      </c>
    </row>
    <row r="30">
      <c r="A30" t="s">
        <v>66</v>
      </c>
      <c r="B30">
        <v>1</v>
      </c>
      <c r="C30">
        <v>1</v>
      </c>
    </row>
    <row r="31">
      <c r="A31" t="s">
        <v>67</v>
      </c>
      <c r="B31">
        <v>2</v>
      </c>
      <c r="C31">
        <v>1</v>
      </c>
    </row>
    <row r="32">
      <c r="A32" t="s">
        <v>68</v>
      </c>
      <c r="B32">
        <v>6</v>
      </c>
      <c r="C32">
        <v>1</v>
      </c>
    </row>
    <row r="33">
      <c r="A33" t="s">
        <v>69</v>
      </c>
      <c r="B33">
        <v>1</v>
      </c>
      <c r="C33">
        <v>1</v>
      </c>
    </row>
    <row r="34">
      <c r="A34" t="s">
        <v>70</v>
      </c>
      <c r="B34">
        <v>1</v>
      </c>
      <c r="C34">
        <v>1</v>
      </c>
    </row>
    <row r="35">
      <c r="A35" t="s">
        <v>71</v>
      </c>
      <c r="B35">
        <v>4</v>
      </c>
      <c r="C35">
        <v>1</v>
      </c>
    </row>
    <row r="36">
      <c r="A36" t="s">
        <v>72</v>
      </c>
      <c r="B36">
        <v>5</v>
      </c>
      <c r="C36">
        <v>1</v>
      </c>
    </row>
    <row r="37">
      <c r="A37" t="s">
        <v>73</v>
      </c>
      <c r="B37">
        <v>9</v>
      </c>
      <c r="C37">
        <v>1</v>
      </c>
    </row>
    <row r="38">
      <c r="A38" t="s">
        <v>74</v>
      </c>
      <c r="B38">
        <v>1</v>
      </c>
      <c r="C38">
        <v>1</v>
      </c>
    </row>
    <row r="39">
      <c r="A39" t="s">
        <v>75</v>
      </c>
      <c r="B39">
        <v>2</v>
      </c>
      <c r="C39">
        <v>1</v>
      </c>
    </row>
    <row r="40">
      <c r="A40" t="s">
        <v>76</v>
      </c>
      <c r="B40">
        <v>2</v>
      </c>
      <c r="C40">
        <v>1</v>
      </c>
    </row>
    <row r="41">
      <c r="A41" t="s">
        <v>77</v>
      </c>
      <c r="B41">
        <v>4</v>
      </c>
      <c r="C41">
        <v>1</v>
      </c>
    </row>
    <row r="42">
      <c r="A42" t="s">
        <v>78</v>
      </c>
      <c r="B42">
        <v>1</v>
      </c>
      <c r="C42">
        <v>1</v>
      </c>
    </row>
    <row r="43">
      <c r="A43" t="s">
        <v>79</v>
      </c>
      <c r="B43">
        <v>1</v>
      </c>
      <c r="C43">
        <v>1</v>
      </c>
    </row>
    <row r="44">
      <c r="A44" t="s">
        <v>80</v>
      </c>
      <c r="B44">
        <v>1</v>
      </c>
      <c r="C44">
        <v>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18.28125"/>
    <col customWidth="1" min="2" max="2" width="14.140625"/>
    <col customWidth="1" min="3" max="3" width="14.57421875"/>
    <col customWidth="1" min="6" max="6" width="18.140625"/>
    <col customWidth="1" min="8" max="8" width="18.00390625"/>
    <col customWidth="1" min="9" max="9" width="15.7109375"/>
  </cols>
  <sheetData>
    <row r="1">
      <c r="A1" s="1" t="s">
        <v>0</v>
      </c>
      <c r="B1" s="1" t="s">
        <v>1</v>
      </c>
      <c r="C1" s="1" t="s">
        <v>2</v>
      </c>
      <c r="F1" s="5" t="s">
        <v>3</v>
      </c>
      <c r="G1" s="6"/>
      <c r="H1" s="5" t="s">
        <v>4</v>
      </c>
      <c r="I1" s="5" t="s">
        <v>5</v>
      </c>
    </row>
    <row r="2">
      <c r="A2" t="s">
        <v>81</v>
      </c>
      <c r="B2">
        <v>2</v>
      </c>
      <c r="C2">
        <v>2</v>
      </c>
      <c r="F2" s="5">
        <f>COUNTIF(B2:B45,1)</f>
        <v>3</v>
      </c>
      <c r="G2" s="6"/>
      <c r="H2" s="5">
        <v>1</v>
      </c>
      <c r="I2" s="5" t="s">
        <v>7</v>
      </c>
    </row>
    <row r="3">
      <c r="A3" t="s">
        <v>82</v>
      </c>
      <c r="B3">
        <v>4</v>
      </c>
      <c r="C3">
        <v>2</v>
      </c>
      <c r="F3" s="5">
        <f>COUNTIF(B2:B45,2)</f>
        <v>4</v>
      </c>
      <c r="G3" s="6"/>
      <c r="H3" s="5">
        <v>2</v>
      </c>
      <c r="I3" s="7" t="s">
        <v>9</v>
      </c>
    </row>
    <row r="4">
      <c r="A4" t="s">
        <v>83</v>
      </c>
      <c r="B4">
        <v>5</v>
      </c>
      <c r="C4">
        <v>2</v>
      </c>
      <c r="F4" s="5">
        <f>COUNTIF(B2:B45,3)</f>
        <v>0</v>
      </c>
      <c r="G4" s="6"/>
      <c r="H4" s="5">
        <v>3</v>
      </c>
      <c r="I4" s="5" t="s">
        <v>11</v>
      </c>
    </row>
    <row r="5">
      <c r="A5" t="s">
        <v>84</v>
      </c>
      <c r="B5">
        <v>4</v>
      </c>
      <c r="C5">
        <v>2</v>
      </c>
      <c r="F5" s="5">
        <f>COUNTIF(B2:B45,4)</f>
        <v>11</v>
      </c>
      <c r="G5" s="6"/>
      <c r="H5" s="5">
        <v>4</v>
      </c>
      <c r="I5" s="8" t="s">
        <v>13</v>
      </c>
    </row>
    <row r="6">
      <c r="A6" t="s">
        <v>85</v>
      </c>
      <c r="B6">
        <v>4</v>
      </c>
      <c r="C6">
        <v>2</v>
      </c>
      <c r="F6" s="5">
        <f>COUNTIF(B2:B45,5)</f>
        <v>3</v>
      </c>
      <c r="G6" s="6"/>
      <c r="H6" s="5">
        <v>5</v>
      </c>
      <c r="I6" s="5" t="s">
        <v>15</v>
      </c>
    </row>
    <row r="7">
      <c r="A7" t="s">
        <v>86</v>
      </c>
      <c r="B7">
        <v>2</v>
      </c>
      <c r="C7">
        <v>2</v>
      </c>
      <c r="F7" s="5">
        <f>COUNTIF(B2:B45,6)</f>
        <v>0</v>
      </c>
      <c r="G7" s="6"/>
      <c r="H7" s="5">
        <v>6</v>
      </c>
      <c r="I7" s="5" t="s">
        <v>17</v>
      </c>
    </row>
    <row r="8">
      <c r="A8" t="s">
        <v>87</v>
      </c>
      <c r="B8">
        <v>7</v>
      </c>
      <c r="C8">
        <v>2</v>
      </c>
      <c r="F8" s="5">
        <f>COUNTIF(B2:B45,7)</f>
        <v>3</v>
      </c>
      <c r="G8" s="6"/>
      <c r="H8" s="5">
        <v>7</v>
      </c>
      <c r="I8" s="5" t="s">
        <v>19</v>
      </c>
    </row>
    <row r="9">
      <c r="A9" t="s">
        <v>88</v>
      </c>
      <c r="B9">
        <v>4</v>
      </c>
      <c r="C9">
        <v>2</v>
      </c>
      <c r="F9" s="5">
        <f>COUNTIF(B2:B45,8)</f>
        <v>1</v>
      </c>
      <c r="G9" s="6"/>
      <c r="H9" s="5">
        <v>8</v>
      </c>
      <c r="I9" s="5" t="s">
        <v>21</v>
      </c>
    </row>
    <row r="10">
      <c r="A10" t="s">
        <v>89</v>
      </c>
      <c r="B10">
        <v>5</v>
      </c>
      <c r="C10">
        <v>2</v>
      </c>
      <c r="F10" s="5">
        <f>COUNTIF(B2:B45,9)</f>
        <v>3</v>
      </c>
      <c r="G10" s="6"/>
      <c r="H10" s="5">
        <v>9</v>
      </c>
      <c r="I10" s="5" t="s">
        <v>23</v>
      </c>
    </row>
    <row r="11">
      <c r="A11" t="s">
        <v>90</v>
      </c>
      <c r="B11">
        <v>1</v>
      </c>
      <c r="C11">
        <v>2</v>
      </c>
      <c r="F11" s="6"/>
      <c r="G11" s="6"/>
      <c r="H11" s="6"/>
      <c r="I11" s="6"/>
    </row>
    <row r="12">
      <c r="A12" t="s">
        <v>91</v>
      </c>
      <c r="B12">
        <v>2</v>
      </c>
      <c r="C12">
        <v>2</v>
      </c>
      <c r="F12" s="6"/>
      <c r="G12" s="6"/>
      <c r="H12" s="6"/>
      <c r="I12" s="6"/>
    </row>
    <row r="13">
      <c r="A13" t="s">
        <v>92</v>
      </c>
      <c r="B13">
        <v>1</v>
      </c>
      <c r="C13">
        <v>2</v>
      </c>
      <c r="F13" s="6">
        <f>SUM(F2:F10)</f>
        <v>28</v>
      </c>
      <c r="G13" s="6" t="s">
        <v>27</v>
      </c>
      <c r="H13" s="6"/>
      <c r="I13" s="6"/>
    </row>
    <row r="14">
      <c r="A14" t="s">
        <v>93</v>
      </c>
      <c r="B14">
        <v>7</v>
      </c>
      <c r="C14">
        <v>2</v>
      </c>
    </row>
    <row r="15">
      <c r="A15" t="s">
        <v>94</v>
      </c>
      <c r="B15">
        <v>4</v>
      </c>
      <c r="C15">
        <v>2</v>
      </c>
    </row>
    <row r="16">
      <c r="A16" t="s">
        <v>95</v>
      </c>
      <c r="B16">
        <v>4</v>
      </c>
      <c r="C16">
        <v>2</v>
      </c>
    </row>
    <row r="17">
      <c r="A17" t="s">
        <v>96</v>
      </c>
      <c r="B17">
        <v>4</v>
      </c>
      <c r="C17">
        <v>2</v>
      </c>
    </row>
    <row r="18">
      <c r="A18" t="s">
        <v>97</v>
      </c>
      <c r="B18">
        <v>9</v>
      </c>
      <c r="C18">
        <v>2</v>
      </c>
    </row>
    <row r="19">
      <c r="A19" t="s">
        <v>98</v>
      </c>
      <c r="B19">
        <v>5</v>
      </c>
      <c r="C19">
        <v>2</v>
      </c>
    </row>
    <row r="20">
      <c r="A20" t="s">
        <v>99</v>
      </c>
      <c r="B20">
        <v>7</v>
      </c>
      <c r="C20">
        <v>2</v>
      </c>
    </row>
    <row r="21">
      <c r="A21" t="s">
        <v>100</v>
      </c>
      <c r="B21">
        <v>4</v>
      </c>
      <c r="C21">
        <v>2</v>
      </c>
    </row>
    <row r="22">
      <c r="A22" t="s">
        <v>101</v>
      </c>
      <c r="B22">
        <v>4</v>
      </c>
      <c r="C22">
        <v>2</v>
      </c>
    </row>
    <row r="23">
      <c r="A23" t="s">
        <v>102</v>
      </c>
      <c r="B23">
        <v>9</v>
      </c>
      <c r="C23">
        <v>2</v>
      </c>
    </row>
    <row r="24">
      <c r="A24" t="s">
        <v>103</v>
      </c>
      <c r="B24">
        <v>8</v>
      </c>
      <c r="C24">
        <v>2</v>
      </c>
    </row>
    <row r="25">
      <c r="A25" t="s">
        <v>104</v>
      </c>
      <c r="B25">
        <v>9</v>
      </c>
      <c r="C25">
        <v>2</v>
      </c>
    </row>
    <row r="26">
      <c r="A26" t="s">
        <v>105</v>
      </c>
      <c r="B26">
        <v>4</v>
      </c>
      <c r="C26">
        <v>2</v>
      </c>
    </row>
    <row r="27">
      <c r="A27" t="s">
        <v>106</v>
      </c>
      <c r="B27">
        <v>2</v>
      </c>
      <c r="C27">
        <v>2</v>
      </c>
    </row>
    <row r="28">
      <c r="A28" t="s">
        <v>107</v>
      </c>
      <c r="B28">
        <v>4</v>
      </c>
      <c r="C28">
        <v>2</v>
      </c>
    </row>
    <row r="29">
      <c r="A29" t="s">
        <v>108</v>
      </c>
      <c r="B29">
        <v>1</v>
      </c>
      <c r="C29">
        <v>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21.00390625"/>
    <col customWidth="1" min="2" max="2" width="18.421875"/>
    <col customWidth="1" min="3" max="3" width="16.57421875"/>
    <col customWidth="1" min="6" max="6" width="16.421875"/>
    <col customWidth="1" min="8" max="8" width="17.7109375"/>
    <col customWidth="1" min="9" max="9" width="18.28125"/>
  </cols>
  <sheetData>
    <row r="1">
      <c r="A1" s="1" t="s">
        <v>0</v>
      </c>
      <c r="B1" s="1" t="s">
        <v>1</v>
      </c>
      <c r="C1" s="1" t="s">
        <v>2</v>
      </c>
      <c r="F1" s="5" t="s">
        <v>3</v>
      </c>
      <c r="G1" s="6"/>
      <c r="H1" s="5" t="s">
        <v>4</v>
      </c>
      <c r="I1" s="5" t="s">
        <v>5</v>
      </c>
    </row>
    <row r="2">
      <c r="A2" t="s">
        <v>109</v>
      </c>
      <c r="B2">
        <v>7</v>
      </c>
      <c r="C2">
        <v>3</v>
      </c>
      <c r="F2" s="5">
        <f>COUNTIF(B2:B45,1)</f>
        <v>3</v>
      </c>
      <c r="G2" s="6"/>
      <c r="H2" s="5">
        <v>1</v>
      </c>
      <c r="I2" s="5" t="s">
        <v>7</v>
      </c>
    </row>
    <row r="3">
      <c r="A3" t="s">
        <v>110</v>
      </c>
      <c r="B3">
        <v>4</v>
      </c>
      <c r="C3">
        <v>3</v>
      </c>
      <c r="F3" s="5">
        <f>COUNTIF(B2:B45,2)</f>
        <v>3</v>
      </c>
      <c r="G3" s="6"/>
      <c r="H3" s="5">
        <v>2</v>
      </c>
      <c r="I3" s="5" t="s">
        <v>9</v>
      </c>
    </row>
    <row r="4">
      <c r="A4" t="s">
        <v>111</v>
      </c>
      <c r="B4">
        <v>7</v>
      </c>
      <c r="C4">
        <v>3</v>
      </c>
      <c r="F4" s="5">
        <f>COUNTIF(B2:B45,3)</f>
        <v>1</v>
      </c>
      <c r="G4" s="6"/>
      <c r="H4" s="5">
        <v>3</v>
      </c>
      <c r="I4" s="5" t="s">
        <v>11</v>
      </c>
    </row>
    <row r="5">
      <c r="A5" t="s">
        <v>112</v>
      </c>
      <c r="B5">
        <v>7</v>
      </c>
      <c r="C5">
        <v>3</v>
      </c>
      <c r="F5" s="5">
        <f>COUNTIF(B2:B45,4)</f>
        <v>2</v>
      </c>
      <c r="G5" s="6"/>
      <c r="H5" s="5">
        <v>4</v>
      </c>
      <c r="I5" s="5" t="s">
        <v>13</v>
      </c>
    </row>
    <row r="6">
      <c r="A6" t="s">
        <v>113</v>
      </c>
      <c r="B6">
        <v>1</v>
      </c>
      <c r="C6">
        <v>3</v>
      </c>
      <c r="F6" s="5">
        <f>COUNTIF(B2:B45,5)</f>
        <v>0</v>
      </c>
      <c r="G6" s="6"/>
      <c r="H6" s="5">
        <v>5</v>
      </c>
      <c r="I6" s="5" t="s">
        <v>15</v>
      </c>
    </row>
    <row r="7">
      <c r="A7" t="s">
        <v>114</v>
      </c>
      <c r="B7">
        <v>8</v>
      </c>
      <c r="C7">
        <v>3</v>
      </c>
      <c r="F7" s="5">
        <f>COUNTIF(B2:B45,6)</f>
        <v>5</v>
      </c>
      <c r="G7" s="6"/>
      <c r="H7" s="5">
        <v>6</v>
      </c>
      <c r="I7" s="5" t="s">
        <v>17</v>
      </c>
    </row>
    <row r="8">
      <c r="A8" t="s">
        <v>115</v>
      </c>
      <c r="B8">
        <v>6</v>
      </c>
      <c r="C8">
        <v>3</v>
      </c>
      <c r="F8" s="5">
        <f>COUNTIF(B2:B45,7)</f>
        <v>9</v>
      </c>
      <c r="G8" s="6"/>
      <c r="H8" s="5">
        <v>7</v>
      </c>
      <c r="I8" s="8" t="s">
        <v>19</v>
      </c>
    </row>
    <row r="9">
      <c r="A9" t="s">
        <v>116</v>
      </c>
      <c r="B9">
        <v>8</v>
      </c>
      <c r="C9">
        <v>3</v>
      </c>
      <c r="F9" s="5">
        <f>COUNTIF(B2:B45,8)</f>
        <v>8</v>
      </c>
      <c r="G9" s="6"/>
      <c r="H9" s="5">
        <v>8</v>
      </c>
      <c r="I9" s="7" t="s">
        <v>21</v>
      </c>
    </row>
    <row r="10">
      <c r="A10" t="s">
        <v>117</v>
      </c>
      <c r="B10">
        <v>1</v>
      </c>
      <c r="C10">
        <v>3</v>
      </c>
      <c r="F10" s="5">
        <f>COUNTIF(B2:B45,9)</f>
        <v>1</v>
      </c>
      <c r="G10" s="6"/>
      <c r="H10" s="5">
        <v>9</v>
      </c>
      <c r="I10" s="5" t="s">
        <v>23</v>
      </c>
    </row>
    <row r="11">
      <c r="A11" t="s">
        <v>118</v>
      </c>
      <c r="B11">
        <v>4</v>
      </c>
      <c r="C11">
        <v>3</v>
      </c>
      <c r="F11" s="6"/>
      <c r="G11" s="6"/>
      <c r="H11" s="6"/>
      <c r="I11" s="6"/>
    </row>
    <row r="12">
      <c r="A12" t="s">
        <v>119</v>
      </c>
      <c r="B12">
        <v>8</v>
      </c>
      <c r="C12">
        <v>3</v>
      </c>
      <c r="F12" s="6"/>
      <c r="G12" s="6"/>
      <c r="H12" s="6"/>
      <c r="I12" s="6"/>
    </row>
    <row r="13">
      <c r="A13" t="s">
        <v>120</v>
      </c>
      <c r="B13">
        <v>2</v>
      </c>
      <c r="C13">
        <v>3</v>
      </c>
      <c r="F13" s="6">
        <f>SUM(F2:F10)</f>
        <v>32</v>
      </c>
      <c r="G13" s="6" t="s">
        <v>27</v>
      </c>
      <c r="H13" s="6"/>
      <c r="I13" s="6"/>
    </row>
    <row r="14">
      <c r="A14" t="s">
        <v>121</v>
      </c>
      <c r="B14">
        <v>6</v>
      </c>
      <c r="C14">
        <v>3</v>
      </c>
    </row>
    <row r="15">
      <c r="A15" t="s">
        <v>122</v>
      </c>
      <c r="B15">
        <v>2</v>
      </c>
      <c r="C15">
        <v>3</v>
      </c>
    </row>
    <row r="16">
      <c r="A16" t="s">
        <v>123</v>
      </c>
      <c r="B16">
        <v>6</v>
      </c>
      <c r="C16">
        <v>3</v>
      </c>
    </row>
    <row r="17">
      <c r="A17" t="s">
        <v>124</v>
      </c>
      <c r="B17">
        <v>1</v>
      </c>
      <c r="C17">
        <v>3</v>
      </c>
    </row>
    <row r="18">
      <c r="A18" t="s">
        <v>125</v>
      </c>
      <c r="B18">
        <v>8</v>
      </c>
      <c r="C18">
        <v>3</v>
      </c>
    </row>
    <row r="19">
      <c r="A19" t="s">
        <v>126</v>
      </c>
      <c r="B19">
        <v>6</v>
      </c>
      <c r="C19">
        <v>3</v>
      </c>
    </row>
    <row r="20">
      <c r="A20" t="s">
        <v>127</v>
      </c>
      <c r="B20">
        <v>8</v>
      </c>
      <c r="C20">
        <v>3</v>
      </c>
    </row>
    <row r="21">
      <c r="A21" t="s">
        <v>128</v>
      </c>
      <c r="B21">
        <v>9</v>
      </c>
      <c r="C21">
        <v>3</v>
      </c>
    </row>
    <row r="22">
      <c r="A22" t="s">
        <v>129</v>
      </c>
      <c r="B22">
        <v>6</v>
      </c>
      <c r="C22">
        <v>3</v>
      </c>
    </row>
    <row r="23">
      <c r="A23" t="s">
        <v>130</v>
      </c>
      <c r="B23">
        <v>8</v>
      </c>
      <c r="C23">
        <v>3</v>
      </c>
    </row>
    <row r="24">
      <c r="A24" t="s">
        <v>131</v>
      </c>
      <c r="B24">
        <v>7</v>
      </c>
      <c r="C24">
        <v>3</v>
      </c>
    </row>
    <row r="25">
      <c r="A25" t="s">
        <v>132</v>
      </c>
      <c r="B25">
        <v>3</v>
      </c>
      <c r="C25">
        <v>3</v>
      </c>
    </row>
    <row r="26">
      <c r="A26" t="s">
        <v>133</v>
      </c>
      <c r="B26">
        <v>7</v>
      </c>
      <c r="C26">
        <v>3</v>
      </c>
    </row>
    <row r="27">
      <c r="A27" t="s">
        <v>134</v>
      </c>
      <c r="B27">
        <v>2</v>
      </c>
      <c r="C27">
        <v>3</v>
      </c>
    </row>
    <row r="28">
      <c r="A28" t="s">
        <v>135</v>
      </c>
      <c r="B28">
        <v>8</v>
      </c>
      <c r="C28">
        <v>3</v>
      </c>
    </row>
    <row r="29">
      <c r="A29" t="s">
        <v>136</v>
      </c>
      <c r="B29">
        <v>7</v>
      </c>
      <c r="C29">
        <v>3</v>
      </c>
    </row>
    <row r="30">
      <c r="A30" t="s">
        <v>137</v>
      </c>
      <c r="B30">
        <v>7</v>
      </c>
      <c r="C30">
        <v>3</v>
      </c>
    </row>
    <row r="31">
      <c r="A31" t="s">
        <v>138</v>
      </c>
      <c r="B31">
        <v>8</v>
      </c>
      <c r="C31">
        <v>3</v>
      </c>
    </row>
    <row r="32">
      <c r="A32" t="s">
        <v>139</v>
      </c>
      <c r="B32">
        <v>7</v>
      </c>
      <c r="C32">
        <v>3</v>
      </c>
    </row>
    <row r="33">
      <c r="A33" t="s">
        <v>140</v>
      </c>
      <c r="B33">
        <v>7</v>
      </c>
      <c r="C33">
        <v>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17.00390625"/>
    <col customWidth="1" min="2" max="2" width="15.421875"/>
    <col customWidth="1" min="3" max="3" width="12.28125"/>
    <col customWidth="1" min="6" max="6" width="19.7109375"/>
    <col customWidth="1" min="8" max="8" width="17.57421875"/>
    <col customWidth="1" min="9" max="9" width="15.8515625"/>
  </cols>
  <sheetData>
    <row r="1">
      <c r="A1" s="1" t="s">
        <v>0</v>
      </c>
      <c r="B1" s="1" t="s">
        <v>1</v>
      </c>
      <c r="C1" s="1" t="s">
        <v>2</v>
      </c>
      <c r="F1" s="5" t="s">
        <v>3</v>
      </c>
      <c r="G1" s="6"/>
      <c r="H1" s="5" t="s">
        <v>4</v>
      </c>
      <c r="I1" s="5" t="s">
        <v>5</v>
      </c>
    </row>
    <row r="2">
      <c r="A2" t="s">
        <v>141</v>
      </c>
      <c r="B2">
        <v>1</v>
      </c>
      <c r="C2">
        <v>4</v>
      </c>
      <c r="F2" s="5">
        <f>COUNTIF(B2:B45,1)</f>
        <v>5</v>
      </c>
      <c r="G2" s="6"/>
      <c r="H2" s="5">
        <v>1</v>
      </c>
      <c r="I2" s="7" t="s">
        <v>7</v>
      </c>
    </row>
    <row r="3">
      <c r="A3" t="s">
        <v>142</v>
      </c>
      <c r="B3">
        <v>2</v>
      </c>
      <c r="C3">
        <v>4</v>
      </c>
      <c r="F3" s="5">
        <f>COUNTIF(B2:B45,2)</f>
        <v>8</v>
      </c>
      <c r="G3" s="6"/>
      <c r="H3" s="5">
        <v>2</v>
      </c>
      <c r="I3" s="8" t="s">
        <v>9</v>
      </c>
    </row>
    <row r="4">
      <c r="A4" t="s">
        <v>143</v>
      </c>
      <c r="B4">
        <v>2</v>
      </c>
      <c r="C4">
        <v>4</v>
      </c>
      <c r="F4" s="5">
        <f>COUNTIF(B2:B45,3)</f>
        <v>1</v>
      </c>
      <c r="G4" s="6"/>
      <c r="H4" s="5">
        <v>3</v>
      </c>
      <c r="I4" s="5" t="s">
        <v>11</v>
      </c>
    </row>
    <row r="5">
      <c r="A5" t="s">
        <v>144</v>
      </c>
      <c r="B5">
        <v>2</v>
      </c>
      <c r="C5">
        <v>4</v>
      </c>
      <c r="F5" s="5">
        <f>COUNTIF(B2:B45,4)</f>
        <v>1</v>
      </c>
      <c r="G5" s="6"/>
      <c r="H5" s="5">
        <v>4</v>
      </c>
      <c r="I5" s="5" t="s">
        <v>13</v>
      </c>
    </row>
    <row r="6">
      <c r="A6" t="s">
        <v>145</v>
      </c>
      <c r="B6">
        <v>1</v>
      </c>
      <c r="C6">
        <v>4</v>
      </c>
      <c r="F6" s="5">
        <f>COUNTIF(B2:B45,5)</f>
        <v>0</v>
      </c>
      <c r="G6" s="6"/>
      <c r="H6" s="5">
        <v>5</v>
      </c>
      <c r="I6" s="5" t="s">
        <v>15</v>
      </c>
    </row>
    <row r="7">
      <c r="A7" t="s">
        <v>146</v>
      </c>
      <c r="B7">
        <v>1</v>
      </c>
      <c r="C7">
        <v>4</v>
      </c>
      <c r="F7" s="5">
        <f>COUNTIF(B2:B45,6)</f>
        <v>0</v>
      </c>
      <c r="G7" s="6"/>
      <c r="H7" s="5">
        <v>6</v>
      </c>
      <c r="I7" s="5" t="s">
        <v>17</v>
      </c>
    </row>
    <row r="8">
      <c r="A8" t="s">
        <v>147</v>
      </c>
      <c r="B8">
        <v>1</v>
      </c>
      <c r="C8">
        <v>4</v>
      </c>
      <c r="F8" s="5">
        <f>COUNTIF(B2:B45,7)</f>
        <v>0</v>
      </c>
      <c r="G8" s="6"/>
      <c r="H8" s="5">
        <v>7</v>
      </c>
      <c r="I8" s="5" t="s">
        <v>19</v>
      </c>
    </row>
    <row r="9">
      <c r="A9" t="s">
        <v>148</v>
      </c>
      <c r="B9">
        <v>2</v>
      </c>
      <c r="C9">
        <v>4</v>
      </c>
      <c r="F9" s="5">
        <f>COUNTIF(B2:B45,8)</f>
        <v>0</v>
      </c>
      <c r="G9" s="6"/>
      <c r="H9" s="5">
        <v>8</v>
      </c>
      <c r="I9" s="5" t="s">
        <v>21</v>
      </c>
    </row>
    <row r="10">
      <c r="A10" t="s">
        <v>149</v>
      </c>
      <c r="B10">
        <v>4</v>
      </c>
      <c r="C10">
        <v>4</v>
      </c>
      <c r="F10" s="5">
        <f>COUNTIF(B2:B45,9)</f>
        <v>0</v>
      </c>
      <c r="G10" s="6"/>
      <c r="H10" s="5">
        <v>9</v>
      </c>
      <c r="I10" s="5" t="s">
        <v>23</v>
      </c>
    </row>
    <row r="11">
      <c r="A11" t="s">
        <v>150</v>
      </c>
      <c r="B11">
        <v>1</v>
      </c>
      <c r="C11">
        <v>4</v>
      </c>
      <c r="F11" s="6"/>
      <c r="G11" s="6"/>
      <c r="H11" s="6"/>
      <c r="I11" s="6"/>
    </row>
    <row r="12">
      <c r="A12" t="s">
        <v>151</v>
      </c>
      <c r="B12">
        <v>2</v>
      </c>
      <c r="C12">
        <v>4</v>
      </c>
      <c r="F12" s="6"/>
      <c r="G12" s="6"/>
      <c r="H12" s="6"/>
      <c r="I12" s="6"/>
    </row>
    <row r="13">
      <c r="A13" t="s">
        <v>152</v>
      </c>
      <c r="B13">
        <v>2</v>
      </c>
      <c r="C13">
        <v>4</v>
      </c>
      <c r="F13" s="6">
        <f>SUM(F2:F10)</f>
        <v>15</v>
      </c>
      <c r="G13" s="6" t="s">
        <v>27</v>
      </c>
      <c r="H13" s="6"/>
      <c r="I13" s="6"/>
    </row>
    <row r="14">
      <c r="A14" t="s">
        <v>153</v>
      </c>
      <c r="B14">
        <v>2</v>
      </c>
      <c r="C14">
        <v>4</v>
      </c>
    </row>
    <row r="15">
      <c r="A15" t="s">
        <v>154</v>
      </c>
      <c r="B15">
        <v>3</v>
      </c>
      <c r="C15">
        <v>4</v>
      </c>
    </row>
    <row r="16">
      <c r="A16" t="s">
        <v>155</v>
      </c>
      <c r="B16">
        <v>2</v>
      </c>
      <c r="C16">
        <v>4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modified xsi:type="dcterms:W3CDTF">2025-09-27T19:57:39Z</dcterms:modified>
</cp:coreProperties>
</file>